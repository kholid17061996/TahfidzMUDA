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LAPTOPSMP-09\Downloads\"/>
    </mc:Choice>
  </mc:AlternateContent>
  <xr:revisionPtr revIDLastSave="0" documentId="13_ncr:1_{F9285D3F-6058-4ED4-9DD4-7D6B96327CF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 Penilaian" sheetId="1" r:id="rId1"/>
  </sheets>
  <definedNames>
    <definedName name="_xlnm.Print_Area" localSheetId="0">'Form Penilaian'!$A$1:$F$38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" i="1" l="1"/>
  <c r="E24" i="1"/>
  <c r="E19" i="1"/>
  <c r="D19" i="1"/>
  <c r="F18" i="1"/>
  <c r="F17" i="1"/>
  <c r="F16" i="1"/>
  <c r="F15" i="1"/>
  <c r="F14" i="1"/>
  <c r="F13" i="1"/>
  <c r="F19" i="1" l="1"/>
  <c r="E23" i="1" s="1"/>
  <c r="E22" i="1" l="1"/>
</calcChain>
</file>

<file path=xl/sharedStrings.xml><?xml version="1.0" encoding="utf-8"?>
<sst xmlns="http://schemas.openxmlformats.org/spreadsheetml/2006/main" count="61" uniqueCount="55">
  <si>
    <t>FORM PENILAIAN
UJIAN BACA AL-QUR’AN</t>
  </si>
  <si>
    <t>Kreatif Muhammadiyah Boarding School</t>
  </si>
  <si>
    <t>A. IDENTITAS PESERTA</t>
  </si>
  <si>
    <t>Nama Peserta</t>
  </si>
  <si>
    <t>____________________________</t>
  </si>
  <si>
    <t>Hari/Tanggal</t>
  </si>
  <si>
    <t>Surat/Ayat</t>
  </si>
  <si>
    <t>Kelas</t>
  </si>
  <si>
    <t>Penguji</t>
  </si>
  <si>
    <t>B. ASPEK PENILAIAN</t>
  </si>
  <si>
    <t>No</t>
  </si>
  <si>
    <t>Aspek yang Dinilai</t>
  </si>
  <si>
    <t>Deskripsi Penilaian</t>
  </si>
  <si>
    <t>Bobot</t>
  </si>
  <si>
    <t>Nilai
(1–100)</t>
  </si>
  <si>
    <t>Skor
(Bobot × Nilai)</t>
  </si>
  <si>
    <t>Makharijul Huruf</t>
  </si>
  <si>
    <t>Ketepatan pengucapan huruf sesuai tempat keluarnya</t>
  </si>
  <si>
    <t>Tajwid</t>
  </si>
  <si>
    <t>Penerapan hukum tajwid dengan benar</t>
  </si>
  <si>
    <t>Kelancaran Membaca</t>
  </si>
  <si>
    <t>Membaca tanpa banyak jeda dan tidak terbata-bata</t>
  </si>
  <si>
    <t>Fashahah / Kefasihan</t>
  </si>
  <si>
    <t>Lancar, jelas, dan mudah dipahami</t>
  </si>
  <si>
    <t>Mad &amp; Qashr</t>
  </si>
  <si>
    <t>Ketepatan panjang pendek bacaan</t>
  </si>
  <si>
    <t>Waqaf &amp; Ibtida’</t>
  </si>
  <si>
    <t>Ketepatan berhenti dan memulai bacaan</t>
  </si>
  <si>
    <t>JUMLAH</t>
  </si>
  <si>
    <t>C. KRITERIA NILAI</t>
  </si>
  <si>
    <t>D. HASIL AKHIR</t>
  </si>
  <si>
    <t>Rentang Nilai</t>
  </si>
  <si>
    <t>Predikat</t>
  </si>
  <si>
    <t>Keterangan</t>
  </si>
  <si>
    <t>Nilai Akhir</t>
  </si>
  <si>
    <t>90 – 100</t>
  </si>
  <si>
    <t>A</t>
  </si>
  <si>
    <t>Sangat Baik</t>
  </si>
  <si>
    <t>80 – 89</t>
  </si>
  <si>
    <t>B</t>
  </si>
  <si>
    <t>Baik</t>
  </si>
  <si>
    <t>Status Hasil Akhir</t>
  </si>
  <si>
    <t>70 – 79</t>
  </si>
  <si>
    <t>C</t>
  </si>
  <si>
    <t>Cukup</t>
  </si>
  <si>
    <t>Pilih Status</t>
  </si>
  <si>
    <t>Lulus</t>
  </si>
  <si>
    <t>&lt; 70</t>
  </si>
  <si>
    <t>D</t>
  </si>
  <si>
    <t>Perlu Bimbingan</t>
  </si>
  <si>
    <t>E. CATATAN PENGUJI</t>
  </si>
  <si>
    <t xml:space="preserve">CATATAN:
</t>
  </si>
  <si>
    <t>Tanda Tangan Penguji
(________________________)</t>
  </si>
  <si>
    <t>Generasi Qur’ani • Harapan Umat • Cahaya Masa Depan</t>
  </si>
  <si>
    <t>Nomer Urut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</si>
</sst>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rgb="FF172033"/>
      <name val="Arial"/>
    </font>
    <font>
      <b/>
      <sz val="12"/>
      <color rgb="FFFFFFFF"/>
      <name val="Arial"/>
    </font>
    <font>
      <sz val="10"/>
      <color rgb="FF172033"/>
      <name val="Arial"/>
    </font>
    <font>
      <b/>
      <sz val="10"/>
      <color rgb="FFFFFFFF"/>
      <name val="Arial"/>
    </font>
    <font>
      <sz val="9"/>
      <color rgb="FF172033"/>
      <name val="Arial"/>
    </font>
    <font>
      <b/>
      <sz val="9"/>
      <color rgb="FF172033"/>
      <name val="Arial"/>
    </font>
    <font>
      <b/>
      <sz val="10"/>
      <color rgb="FF172033"/>
      <name val="Arial"/>
    </font>
    <font>
      <b/>
      <sz val="9"/>
      <color rgb="FFFFFFFF"/>
      <name val="Arial"/>
    </font>
    <font>
      <i/>
      <sz val="10"/>
      <color rgb="FF172033"/>
      <name val="Arial"/>
    </font>
    <font>
      <b/>
      <sz val="10"/>
      <color rgb="FF173B82"/>
      <name val="Arial"/>
    </font>
    <font>
      <b/>
      <sz val="16"/>
      <color rgb="FF173B82"/>
      <name val="Arial"/>
      <family val="2"/>
    </font>
    <font>
      <sz val="16"/>
      <color theme="1"/>
      <name val="Calibri"/>
      <family val="2"/>
      <scheme val="minor"/>
    </font>
    <font>
      <sz val="10"/>
      <color rgb="FF1720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3B82"/>
      </patternFill>
    </fill>
    <fill>
      <patternFill patternType="solid">
        <fgColor rgb="FFEAF1FA"/>
      </patternFill>
    </fill>
    <fill>
      <patternFill patternType="solid">
        <fgColor rgb="FFFFF2CC"/>
      </patternFill>
    </fill>
  </fills>
  <borders count="8">
    <border>
      <left/>
      <right/>
      <top/>
      <bottom/>
      <diagonal/>
    </border>
    <border>
      <left/>
      <right/>
      <top style="medium">
        <color rgb="FF173B82"/>
      </top>
      <bottom style="medium">
        <color rgb="FF173B82"/>
      </bottom>
      <diagonal/>
    </border>
    <border>
      <left style="thin">
        <color rgb="FFAAB4C3"/>
      </left>
      <right style="thin">
        <color rgb="FFAAB4C3"/>
      </right>
      <top style="medium">
        <color rgb="FFF5C426"/>
      </top>
      <bottom style="medium">
        <color rgb="FFF5C426"/>
      </bottom>
      <diagonal/>
    </border>
    <border>
      <left style="thin">
        <color rgb="FFAAB4C3"/>
      </left>
      <right style="thin">
        <color rgb="FFAAB4C3"/>
      </right>
      <top style="thin">
        <color rgb="FFAAB4C3"/>
      </top>
      <bottom style="thin">
        <color rgb="FFAAB4C3"/>
      </bottom>
      <diagonal/>
    </border>
    <border>
      <left/>
      <right/>
      <top style="medium">
        <color rgb="FF173B82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AAB4C3"/>
      </left>
      <right style="thin">
        <color rgb="FFAAB4C3"/>
      </right>
      <top/>
      <bottom style="medium">
        <color rgb="FFF5C426"/>
      </bottom>
      <diagonal/>
    </border>
    <border>
      <left style="thin">
        <color rgb="FFAAB4C3"/>
      </left>
      <right style="thin">
        <color rgb="FFAAB4C3"/>
      </right>
      <top/>
      <bottom style="thin">
        <color rgb="FFAAB4C3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0" fillId="0" borderId="3" xfId="0" applyBorder="1"/>
    <xf numFmtId="0" fontId="2" fillId="2" borderId="1" xfId="0" applyFont="1" applyFill="1" applyBorder="1" applyAlignment="1">
      <alignment vertical="center"/>
    </xf>
    <xf numFmtId="0" fontId="0" fillId="0" borderId="1" xfId="0" applyBorder="1"/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vertical="center" wrapText="1"/>
    </xf>
    <xf numFmtId="0" fontId="9" fillId="0" borderId="3" xfId="0" applyFont="1" applyBorder="1" applyAlignment="1">
      <alignment vertical="top" wrapText="1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/>
    <xf numFmtId="0" fontId="2" fillId="2" borderId="4" xfId="0" applyFont="1" applyFill="1" applyBorder="1" applyAlignment="1">
      <alignment vertical="center"/>
    </xf>
    <xf numFmtId="0" fontId="0" fillId="0" borderId="4" xfId="0" applyBorder="1"/>
    <xf numFmtId="0" fontId="3" fillId="0" borderId="0" xfId="0" applyFont="1" applyBorder="1" applyAlignment="1">
      <alignment vertical="center"/>
    </xf>
    <xf numFmtId="0" fontId="0" fillId="0" borderId="0" xfId="0" applyBorder="1"/>
    <xf numFmtId="0" fontId="3" fillId="0" borderId="0" xfId="0" applyFont="1" applyBorder="1" applyAlignment="1">
      <alignment vertical="center"/>
    </xf>
    <xf numFmtId="0" fontId="0" fillId="0" borderId="0" xfId="0" applyBorder="1"/>
    <xf numFmtId="0" fontId="13" fillId="0" borderId="0" xfId="0" applyFont="1" applyBorder="1" applyAlignment="1">
      <alignment vertical="center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9" fontId="5" fillId="0" borderId="3" xfId="0" applyNumberFormat="1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2" fontId="5" fillId="0" borderId="3" xfId="0" applyNumberFormat="1" applyFont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/>
    </xf>
    <xf numFmtId="9" fontId="7" fillId="4" borderId="2" xfId="0" applyNumberFormat="1" applyFont="1" applyFill="1" applyBorder="1" applyAlignment="1">
      <alignment horizontal="center"/>
    </xf>
    <xf numFmtId="2" fontId="7" fillId="4" borderId="2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/>
    </xf>
    <xf numFmtId="0" fontId="0" fillId="0" borderId="5" xfId="0" applyBorder="1"/>
    <xf numFmtId="0" fontId="6" fillId="0" borderId="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419100</xdr:colOff>
      <xdr:row>0</xdr:row>
      <xdr:rowOff>220980</xdr:rowOff>
    </xdr:from>
    <xdr:ext cx="1532346" cy="515983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0580" y="220980"/>
          <a:ext cx="1532346" cy="515983"/>
        </a:xfrm>
        <a:prstGeom prst="rect">
          <a:avLst/>
        </a:prstGeom>
      </xdr:spPr>
    </xdr:pic>
    <xdr:clientData/>
  </xdr:oneCellAnchor>
  <xdr:oneCellAnchor>
    <xdr:from>
      <xdr:col>0</xdr:col>
      <xdr:colOff>83820</xdr:colOff>
      <xdr:row>0</xdr:row>
      <xdr:rowOff>198120</xdr:rowOff>
    </xdr:from>
    <xdr:ext cx="617220" cy="571500"/>
    <xdr:pic>
      <xdr:nvPicPr>
        <xdr:cNvPr id="4" name="Image 2" descr="Picture">
          <a:extLst>
            <a:ext uri="{FF2B5EF4-FFF2-40B4-BE49-F238E27FC236}">
              <a16:creationId xmlns:a16="http://schemas.microsoft.com/office/drawing/2014/main" id="{6DDE08B7-BE1B-49AD-8A44-2EF44293BEC2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820" y="198120"/>
          <a:ext cx="617220" cy="571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8"/>
  <sheetViews>
    <sheetView showGridLines="0" tabSelected="1" zoomScale="99" workbookViewId="0">
      <selection activeCell="C7" sqref="C7"/>
    </sheetView>
  </sheetViews>
  <sheetFormatPr defaultRowHeight="14.4" x14ac:dyDescent="0.3"/>
  <cols>
    <col min="1" max="1" width="7.33203125" customWidth="1"/>
    <col min="2" max="2" width="25" customWidth="1"/>
    <col min="3" max="3" width="42" customWidth="1"/>
    <col min="4" max="4" width="12" customWidth="1"/>
    <col min="5" max="5" width="14" customWidth="1"/>
    <col min="6" max="6" width="18" customWidth="1"/>
    <col min="7" max="7" width="3" customWidth="1"/>
    <col min="8" max="8" width="18" customWidth="1"/>
  </cols>
  <sheetData>
    <row r="1" spans="1:6" ht="19.95" customHeight="1" x14ac:dyDescent="0.3"/>
    <row r="2" spans="1:6" ht="19.95" customHeight="1" x14ac:dyDescent="0.3">
      <c r="B2" s="12" t="s">
        <v>0</v>
      </c>
      <c r="C2" s="13"/>
      <c r="D2" s="13"/>
      <c r="E2" s="13"/>
      <c r="F2" s="13"/>
    </row>
    <row r="3" spans="1:6" ht="19.95" customHeight="1" x14ac:dyDescent="0.3">
      <c r="B3" s="13"/>
      <c r="C3" s="13"/>
      <c r="D3" s="13"/>
      <c r="E3" s="13"/>
      <c r="F3" s="13"/>
    </row>
    <row r="4" spans="1:6" ht="19.95" customHeight="1" x14ac:dyDescent="0.3">
      <c r="B4" s="3" t="s">
        <v>1</v>
      </c>
      <c r="C4" s="4"/>
      <c r="D4" s="4"/>
      <c r="E4" s="4"/>
      <c r="F4" s="4"/>
    </row>
    <row r="5" spans="1:6" ht="19.95" customHeight="1" thickBot="1" x14ac:dyDescent="0.35"/>
    <row r="6" spans="1:6" ht="22.05" customHeight="1" x14ac:dyDescent="0.3">
      <c r="A6" s="14" t="s">
        <v>2</v>
      </c>
      <c r="B6" s="15"/>
      <c r="C6" s="15"/>
      <c r="D6" s="15"/>
      <c r="E6" s="15"/>
      <c r="F6" s="15"/>
    </row>
    <row r="7" spans="1:6" ht="19.95" customHeight="1" x14ac:dyDescent="0.3">
      <c r="A7" s="16" t="s">
        <v>3</v>
      </c>
      <c r="B7" s="17"/>
      <c r="C7" s="20" t="s">
        <v>4</v>
      </c>
      <c r="D7" s="16" t="s">
        <v>5</v>
      </c>
      <c r="E7" s="18" t="s">
        <v>4</v>
      </c>
      <c r="F7" s="19"/>
    </row>
    <row r="8" spans="1:6" ht="19.95" customHeight="1" x14ac:dyDescent="0.3">
      <c r="A8" s="20" t="s">
        <v>54</v>
      </c>
      <c r="B8" s="17"/>
      <c r="C8" s="16" t="s">
        <v>4</v>
      </c>
      <c r="D8" s="16" t="s">
        <v>6</v>
      </c>
      <c r="E8" s="18" t="s">
        <v>4</v>
      </c>
      <c r="F8" s="19"/>
    </row>
    <row r="9" spans="1:6" ht="19.95" customHeight="1" x14ac:dyDescent="0.3">
      <c r="A9" s="16" t="s">
        <v>7</v>
      </c>
      <c r="B9" s="17"/>
      <c r="C9" s="16" t="s">
        <v>4</v>
      </c>
      <c r="D9" s="16" t="s">
        <v>8</v>
      </c>
      <c r="E9" s="18" t="s">
        <v>4</v>
      </c>
      <c r="F9" s="19"/>
    </row>
    <row r="10" spans="1:6" ht="19.95" customHeight="1" x14ac:dyDescent="0.3"/>
    <row r="11" spans="1:6" ht="22.05" customHeight="1" x14ac:dyDescent="0.3">
      <c r="A11" s="30" t="s">
        <v>9</v>
      </c>
      <c r="B11" s="31"/>
      <c r="C11" s="31"/>
      <c r="D11" s="31"/>
      <c r="E11" s="31"/>
      <c r="F11" s="31"/>
    </row>
    <row r="12" spans="1:6" ht="34.049999999999997" customHeight="1" thickBot="1" x14ac:dyDescent="0.35">
      <c r="A12" s="29" t="s">
        <v>10</v>
      </c>
      <c r="B12" s="29" t="s">
        <v>11</v>
      </c>
      <c r="C12" s="29" t="s">
        <v>12</v>
      </c>
      <c r="D12" s="29" t="s">
        <v>13</v>
      </c>
      <c r="E12" s="29" t="s">
        <v>14</v>
      </c>
      <c r="F12" s="29" t="s">
        <v>15</v>
      </c>
    </row>
    <row r="13" spans="1:6" ht="34.049999999999997" customHeight="1" x14ac:dyDescent="0.3">
      <c r="A13" s="21">
        <v>1</v>
      </c>
      <c r="B13" s="22" t="s">
        <v>16</v>
      </c>
      <c r="C13" s="21" t="s">
        <v>17</v>
      </c>
      <c r="D13" s="23">
        <v>0.2</v>
      </c>
      <c r="E13" s="24"/>
      <c r="F13" s="25" t="str">
        <f t="shared" ref="F13:F18" si="0">IF(E13="","",D13*E13)</f>
        <v/>
      </c>
    </row>
    <row r="14" spans="1:6" ht="34.049999999999997" customHeight="1" x14ac:dyDescent="0.3">
      <c r="A14" s="21">
        <v>2</v>
      </c>
      <c r="B14" s="22" t="s">
        <v>18</v>
      </c>
      <c r="C14" s="21" t="s">
        <v>19</v>
      </c>
      <c r="D14" s="23">
        <v>0.25</v>
      </c>
      <c r="E14" s="24"/>
      <c r="F14" s="25" t="str">
        <f t="shared" si="0"/>
        <v/>
      </c>
    </row>
    <row r="15" spans="1:6" ht="34.049999999999997" customHeight="1" x14ac:dyDescent="0.3">
      <c r="A15" s="21">
        <v>3</v>
      </c>
      <c r="B15" s="22" t="s">
        <v>20</v>
      </c>
      <c r="C15" s="21" t="s">
        <v>21</v>
      </c>
      <c r="D15" s="23">
        <v>0.2</v>
      </c>
      <c r="E15" s="24"/>
      <c r="F15" s="25" t="str">
        <f t="shared" si="0"/>
        <v/>
      </c>
    </row>
    <row r="16" spans="1:6" ht="34.049999999999997" customHeight="1" x14ac:dyDescent="0.3">
      <c r="A16" s="21">
        <v>4</v>
      </c>
      <c r="B16" s="22" t="s">
        <v>22</v>
      </c>
      <c r="C16" s="21" t="s">
        <v>23</v>
      </c>
      <c r="D16" s="23">
        <v>0.15</v>
      </c>
      <c r="E16" s="24"/>
      <c r="F16" s="25" t="str">
        <f t="shared" si="0"/>
        <v/>
      </c>
    </row>
    <row r="17" spans="1:6" ht="34.049999999999997" customHeight="1" x14ac:dyDescent="0.3">
      <c r="A17" s="21">
        <v>5</v>
      </c>
      <c r="B17" s="22" t="s">
        <v>24</v>
      </c>
      <c r="C17" s="21" t="s">
        <v>25</v>
      </c>
      <c r="D17" s="23">
        <v>0.1</v>
      </c>
      <c r="E17" s="24"/>
      <c r="F17" s="25" t="str">
        <f t="shared" si="0"/>
        <v/>
      </c>
    </row>
    <row r="18" spans="1:6" ht="34.049999999999997" customHeight="1" x14ac:dyDescent="0.3">
      <c r="A18" s="21">
        <v>6</v>
      </c>
      <c r="B18" s="22" t="s">
        <v>26</v>
      </c>
      <c r="C18" s="21" t="s">
        <v>27</v>
      </c>
      <c r="D18" s="23">
        <v>0.1</v>
      </c>
      <c r="E18" s="24"/>
      <c r="F18" s="25" t="str">
        <f t="shared" si="0"/>
        <v/>
      </c>
    </row>
    <row r="19" spans="1:6" ht="19.95" customHeight="1" x14ac:dyDescent="0.3">
      <c r="A19" s="26" t="s">
        <v>28</v>
      </c>
      <c r="B19" s="26"/>
      <c r="C19" s="26"/>
      <c r="D19" s="27">
        <f>SUM(D13:D18)</f>
        <v>1</v>
      </c>
      <c r="E19" s="28" t="str">
        <f>IF(COUNT(E13:E18)=0,"",AVERAGE(E13:E18))</f>
        <v/>
      </c>
      <c r="F19" s="28">
        <f>SUM(F13:F18)</f>
        <v>0</v>
      </c>
    </row>
    <row r="20" spans="1:6" ht="19.95" customHeight="1" x14ac:dyDescent="0.3"/>
    <row r="21" spans="1:6" ht="22.05" customHeight="1" x14ac:dyDescent="0.3">
      <c r="A21" s="30" t="s">
        <v>29</v>
      </c>
      <c r="B21" s="31"/>
      <c r="C21" s="31"/>
      <c r="D21" s="30" t="s">
        <v>30</v>
      </c>
      <c r="E21" s="31"/>
      <c r="F21" s="31"/>
    </row>
    <row r="22" spans="1:6" ht="36" x14ac:dyDescent="0.3">
      <c r="A22" s="41" t="s">
        <v>31</v>
      </c>
      <c r="B22" s="35" t="s">
        <v>32</v>
      </c>
      <c r="C22" s="35" t="s">
        <v>33</v>
      </c>
      <c r="D22" s="36" t="s">
        <v>34</v>
      </c>
      <c r="E22" s="32">
        <f>IF(F19="","",F19)</f>
        <v>0</v>
      </c>
      <c r="F22" s="37"/>
    </row>
    <row r="23" spans="1:6" ht="19.95" customHeight="1" x14ac:dyDescent="0.3">
      <c r="A23" s="1" t="s">
        <v>35</v>
      </c>
      <c r="B23" s="2" t="s">
        <v>36</v>
      </c>
      <c r="C23" s="1" t="s">
        <v>37</v>
      </c>
      <c r="D23" s="2" t="s">
        <v>32</v>
      </c>
      <c r="E23" s="33" t="str">
        <f>IF(F19="","",IF(F19&gt;=90,"A",IF(F19&gt;=80,"B",IF(F19&gt;=70,"C","D"))))</f>
        <v>D</v>
      </c>
      <c r="F23" s="38"/>
    </row>
    <row r="24" spans="1:6" ht="24" x14ac:dyDescent="0.3">
      <c r="A24" s="1" t="s">
        <v>38</v>
      </c>
      <c r="B24" s="2" t="s">
        <v>39</v>
      </c>
      <c r="C24" s="1" t="s">
        <v>40</v>
      </c>
      <c r="D24" s="22" t="s">
        <v>41</v>
      </c>
      <c r="E24" s="40" t="str">
        <f>IF(E25="","Pilih status di bawah","☐ "&amp;IF(E25="Lulus","☑","☐")&amp;" Lulus    "&amp;IF(E25="Lulus Dengan Catatan","☑","☐")&amp;" Lulus Dengan Catatan    "&amp;IF(E25="Tidak Lulus","☑","☐")&amp;" Tidak Lulus")</f>
        <v>☐ ☑ Lulus    ☐ Lulus Dengan Catatan    ☐ Tidak Lulus</v>
      </c>
      <c r="F24" s="38"/>
    </row>
    <row r="25" spans="1:6" ht="19.95" customHeight="1" x14ac:dyDescent="0.3">
      <c r="A25" s="1" t="s">
        <v>42</v>
      </c>
      <c r="B25" s="2" t="s">
        <v>43</v>
      </c>
      <c r="C25" s="1" t="s">
        <v>44</v>
      </c>
      <c r="D25" s="2" t="s">
        <v>45</v>
      </c>
      <c r="E25" s="34" t="s">
        <v>46</v>
      </c>
      <c r="F25" s="38"/>
    </row>
    <row r="26" spans="1:6" ht="19.95" customHeight="1" x14ac:dyDescent="0.3">
      <c r="A26" s="1" t="s">
        <v>47</v>
      </c>
      <c r="B26" s="2" t="s">
        <v>48</v>
      </c>
      <c r="C26" s="1" t="s">
        <v>49</v>
      </c>
      <c r="D26" s="39"/>
      <c r="E26" s="39"/>
      <c r="F26" s="39"/>
    </row>
    <row r="27" spans="1:6" ht="19.95" customHeight="1" x14ac:dyDescent="0.3"/>
    <row r="28" spans="1:6" ht="22.05" customHeight="1" x14ac:dyDescent="0.3">
      <c r="A28" s="6" t="s">
        <v>50</v>
      </c>
      <c r="B28" s="7"/>
      <c r="C28" s="7"/>
      <c r="D28" s="7"/>
      <c r="E28" s="7"/>
      <c r="F28" s="7"/>
    </row>
    <row r="29" spans="1:6" ht="19.95" customHeight="1" x14ac:dyDescent="0.3">
      <c r="A29" s="10" t="str">
        <f>IF(E25="Lulus Dengan Catatan","WAJIB DIISI — Tuliskan catatan/perbaikan peserta di area catatan di bawah.","Tuliskan catatan penguji bila diperlukan.")</f>
        <v>Tuliskan catatan penguji bila diperlukan.</v>
      </c>
      <c r="B29" s="5"/>
      <c r="C29" s="5"/>
      <c r="D29" s="5"/>
      <c r="E29" s="5"/>
      <c r="F29" s="5"/>
    </row>
    <row r="30" spans="1:6" ht="19.95" customHeight="1" x14ac:dyDescent="0.3">
      <c r="A30" s="5"/>
      <c r="B30" s="5"/>
      <c r="C30" s="5"/>
      <c r="D30" s="5"/>
      <c r="E30" s="5"/>
      <c r="F30" s="5"/>
    </row>
    <row r="31" spans="1:6" ht="19.95" customHeight="1" x14ac:dyDescent="0.3">
      <c r="A31" s="5"/>
      <c r="B31" s="5"/>
      <c r="C31" s="5"/>
      <c r="D31" s="5"/>
      <c r="E31" s="5"/>
      <c r="F31" s="5"/>
    </row>
    <row r="32" spans="1:6" ht="19.95" customHeight="1" x14ac:dyDescent="0.3">
      <c r="A32" s="5"/>
      <c r="B32" s="5"/>
      <c r="C32" s="5"/>
      <c r="D32" s="5"/>
      <c r="E32" s="5"/>
      <c r="F32" s="5"/>
    </row>
    <row r="33" spans="1:6" ht="19.95" customHeight="1" x14ac:dyDescent="0.3"/>
    <row r="34" spans="1:6" ht="19.95" customHeight="1" x14ac:dyDescent="0.3">
      <c r="A34" s="8" t="s">
        <v>51</v>
      </c>
      <c r="B34" s="5"/>
      <c r="C34" s="5"/>
      <c r="D34" s="5"/>
      <c r="E34" s="9" t="s">
        <v>52</v>
      </c>
      <c r="F34" s="5"/>
    </row>
    <row r="35" spans="1:6" ht="19.95" customHeight="1" x14ac:dyDescent="0.3">
      <c r="A35" s="5"/>
      <c r="B35" s="5"/>
      <c r="C35" s="5"/>
      <c r="D35" s="5"/>
      <c r="E35" s="5"/>
      <c r="F35" s="5"/>
    </row>
    <row r="36" spans="1:6" ht="19.95" customHeight="1" x14ac:dyDescent="0.3">
      <c r="A36" s="5"/>
      <c r="B36" s="5"/>
      <c r="C36" s="5"/>
      <c r="D36" s="5"/>
      <c r="E36" s="5"/>
      <c r="F36" s="5"/>
    </row>
    <row r="37" spans="1:6" ht="19.95" customHeight="1" x14ac:dyDescent="0.3"/>
    <row r="38" spans="1:6" ht="19.95" customHeight="1" x14ac:dyDescent="0.3">
      <c r="A38" s="11" t="s">
        <v>53</v>
      </c>
      <c r="B38" s="4"/>
      <c r="C38" s="4"/>
      <c r="D38" s="4"/>
      <c r="E38" s="4"/>
      <c r="F38" s="4"/>
    </row>
  </sheetData>
  <mergeCells count="19">
    <mergeCell ref="A38:F38"/>
    <mergeCell ref="E7:F7"/>
    <mergeCell ref="E24:F24"/>
    <mergeCell ref="B2:F3"/>
    <mergeCell ref="D21:F21"/>
    <mergeCell ref="A6:F6"/>
    <mergeCell ref="A34:D36"/>
    <mergeCell ref="A21:C21"/>
    <mergeCell ref="E34:F36"/>
    <mergeCell ref="E9:F9"/>
    <mergeCell ref="A19:C19"/>
    <mergeCell ref="A28:F28"/>
    <mergeCell ref="A29:F32"/>
    <mergeCell ref="E25:F25"/>
    <mergeCell ref="B4:F4"/>
    <mergeCell ref="E23:F23"/>
    <mergeCell ref="E22:F22"/>
    <mergeCell ref="A11:F11"/>
    <mergeCell ref="E8:F8"/>
  </mergeCells>
  <conditionalFormatting sqref="A29:F32">
    <cfRule type="expression" dxfId="0" priority="1">
      <formula>$E$25="Lulus Dengan Catatan"</formula>
    </cfRule>
  </conditionalFormatting>
  <dataValidations count="2">
    <dataValidation type="whole" allowBlank="1" errorTitle="Nilai tidak valid" error="Masukkan nilai 1 sampai 100." sqref="E13:E18" xr:uid="{00000000-0002-0000-0000-000000000000}">
      <formula1>1</formula1>
      <formula2>100</formula2>
    </dataValidation>
    <dataValidation type="list" error="Pilih salah satu status." sqref="E25" xr:uid="{00000000-0002-0000-0000-000001000000}">
      <formula1>"Lulus,Lulus Dengan Catatan,Tidak Lulus"</formula1>
    </dataValidation>
  </dataValidations>
  <pageMargins left="0.25" right="0.25" top="0.3" bottom="0.3" header="0.5" footer="0.5"/>
  <pageSetup paperSize="9" scale="8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Penilaian</vt:lpstr>
      <vt:lpstr>'Form Penilaian'!Print_Area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Kholid</cp:lastModifiedBy>
  <cp:lastPrinted>2026-09-10T00:49:25Z</cp:lastPrinted>
  <dcterms:created xsi:type="dcterms:W3CDTF">2026-09-10T00:36:59Z</dcterms:created>
  <dcterms:modified xsi:type="dcterms:W3CDTF">2026-09-10T01:04:12Z</dcterms:modified>
</cp:coreProperties>
</file>